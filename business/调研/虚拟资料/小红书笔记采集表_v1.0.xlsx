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笔记采集" state="visible" r:id="rId4"/>
    <sheet sheetId="2" name="评论需求样本" state="visible" r:id="rId5"/>
    <sheet sheetId="3" name="字段说明" state="visible" r:id="rId6"/>
    <sheet sheetId="4" name="枚举值" state="visible" r:id="rId7"/>
    <sheet sheetId="5" name="采集看板" state="visible" r:id="rId8"/>
  </sheets>
  <calcPr calcId="171027"/>
</workbook>
</file>

<file path=xl/sharedStrings.xml><?xml version="1.0" encoding="utf-8"?>
<sst xmlns="http://schemas.openxmlformats.org/spreadsheetml/2006/main" count="837" uniqueCount="108">
  <si>
    <t>note_id</t>
  </si>
  <si>
    <t>采集日期</t>
  </si>
  <si>
    <t>主赛道</t>
  </si>
  <si>
    <t>细分赛道</t>
  </si>
  <si>
    <t>搜索关键词</t>
  </si>
  <si>
    <t>笔记标题</t>
  </si>
  <si>
    <t>URL</t>
  </si>
  <si>
    <t>发布日期</t>
  </si>
  <si>
    <t>作者</t>
  </si>
  <si>
    <t>作者类型</t>
  </si>
  <si>
    <t>粉丝数(可见)</t>
  </si>
  <si>
    <t>点赞</t>
  </si>
  <si>
    <t>收藏</t>
  </si>
  <si>
    <t>评论</t>
  </si>
  <si>
    <t>收藏/点赞比</t>
  </si>
  <si>
    <t>求资料评论数</t>
  </si>
  <si>
    <t>求资料率</t>
  </si>
  <si>
    <t>求资料关键词</t>
  </si>
  <si>
    <t>用户任务阶段</t>
  </si>
  <si>
    <t>内容类型</t>
  </si>
  <si>
    <t>产品/交易信号</t>
  </si>
  <si>
    <t>可见价格</t>
  </si>
  <si>
    <t>产品形态</t>
  </si>
  <si>
    <t>痛点强度1-5</t>
  </si>
  <si>
    <t>商业信号1-5</t>
  </si>
  <si>
    <t>证据等级</t>
  </si>
  <si>
    <t>最近核验日期</t>
  </si>
  <si>
    <t>状态</t>
  </si>
  <si>
    <t>去重键</t>
  </si>
  <si>
    <t>备注</t>
  </si>
  <si>
    <t/>
  </si>
  <si>
    <t>comment_id</t>
  </si>
  <si>
    <t>评论文本摘录</t>
  </si>
  <si>
    <t>信号类型</t>
  </si>
  <si>
    <t>需求强度1-5</t>
  </si>
  <si>
    <t>是否求资料</t>
  </si>
  <si>
    <t>是否询价</t>
  </si>
  <si>
    <t>是否表达痛点</t>
  </si>
  <si>
    <t>期望资料形式</t>
  </si>
  <si>
    <t>所属用户任务</t>
  </si>
  <si>
    <t>评论点赞(可见)</t>
  </si>
  <si>
    <t>证据URL/定位</t>
  </si>
  <si>
    <t>字段</t>
  </si>
  <si>
    <t>必填</t>
  </si>
  <si>
    <t>类型</t>
  </si>
  <si>
    <t>定义/采集规则</t>
  </si>
  <si>
    <t>Agent校验规则</t>
  </si>
  <si>
    <t>是</t>
  </si>
  <si>
    <t>string</t>
  </si>
  <si>
    <t>稳定内部ID</t>
  </si>
  <si>
    <t>不得重复</t>
  </si>
  <si>
    <t>date</t>
  </si>
  <si>
    <t>实际采集日期</t>
  </si>
  <si>
    <t>YYYY-MM-DD</t>
  </si>
  <si>
    <t>主赛道/细分赛道</t>
  </si>
  <si>
    <t>统一赛道词表</t>
  </si>
  <si>
    <t>先归一化再入库</t>
  </si>
  <si>
    <t>触发发现的原始搜索词</t>
  </si>
  <si>
    <t>保留原词</t>
  </si>
  <si>
    <t>公开可见标题</t>
  </si>
  <si>
    <t>不自行改写成结论</t>
  </si>
  <si>
    <t>优先</t>
  </si>
  <si>
    <t>url</t>
  </si>
  <si>
    <t>可复核链接或可定位搜索词</t>
  </si>
  <si>
    <t>去除无关追踪参数</t>
  </si>
  <si>
    <t>互动数据</t>
  </si>
  <si>
    <t>条件必填</t>
  </si>
  <si>
    <t>integer</t>
  </si>
  <si>
    <t>仅记录公开可见数值</t>
  </si>
  <si>
    <t>不可猜测；不可见留空</t>
  </si>
  <si>
    <t>自动</t>
  </si>
  <si>
    <t>percent</t>
  </si>
  <si>
    <t>收藏÷点赞</t>
  </si>
  <si>
    <t>点赞为0返回0</t>
  </si>
  <si>
    <t>推荐</t>
  </si>
  <si>
    <t>明确求模板/资料/下载/购买评论数</t>
  </si>
  <si>
    <t>注明抽样范围</t>
  </si>
  <si>
    <t>求资料评论数÷评论数</t>
  </si>
  <si>
    <t>仅作启发式</t>
  </si>
  <si>
    <t>enum</t>
  </si>
  <si>
    <t>A官方/B交易/C内容/D用户表达/E推断</t>
  </si>
  <si>
    <t>重要结论至少2类证据</t>
  </si>
  <si>
    <t>有效/待复核/重复/失效/规则风险</t>
  </si>
  <si>
    <t>重复不参与统计</t>
  </si>
  <si>
    <t>优先URL，否则赛道+标题</t>
  </si>
  <si>
    <t>同URL只留一个主记录</t>
  </si>
  <si>
    <t>允许值</t>
  </si>
  <si>
    <t>个人创作者|专业号/机构|品牌/商家|未知</t>
  </si>
  <si>
    <t>经验复盘|避坑|清单|模板|教程|测评/对比|案例|问答|产品展示|其他</t>
  </si>
  <si>
    <t>PDF|Excel|Word|PPT|Notion|Prompt|工作流|图纸|图片/卡片|视频课|资料库|组合包|未知</t>
  </si>
  <si>
    <t>A-官方/平台规则|B-交易/销量/评价|C-公开内容可见信号|D-评论/用户表达|E-推断/待验证</t>
  </si>
  <si>
    <t>有效|待复核|重复|失效/删除|规则风险</t>
  </si>
  <si>
    <t>评论信号类型</t>
  </si>
  <si>
    <t>求资料|询价/购买|抱怨/踩坑|求步骤|求工具|求对比|求更新|其他</t>
  </si>
  <si>
    <t>小红书虚拟资料需求采集看板</t>
  </si>
  <si>
    <t>值</t>
  </si>
  <si>
    <t>说明</t>
  </si>
  <si>
    <t>有效笔记数</t>
  </si>
  <si>
    <t>高保存笔记数</t>
  </si>
  <si>
    <t>收藏&gt;点赞</t>
  </si>
  <si>
    <t>平均收藏/点赞比</t>
  </si>
  <si>
    <t>高求资料率笔记</t>
  </si>
  <si>
    <t>≥20%启发式</t>
  </si>
  <si>
    <t>有产品/交易信号</t>
  </si>
  <si>
    <t>评论需求样本数</t>
  </si>
  <si>
    <t>版本</t>
  </si>
  <si>
    <t>v1.0</t>
  </si>
  <si>
    <t>只记录公开可见信息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</si>
</sst>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>
        <f>IFERROR(M2/L2,0)</f>
      </c>
      <c r="P2" t="s">
        <v>30</v>
      </c>
      <c r="Q2">
        <f>IFERROR(P2/N2,0)</f>
      </c>
      <c r="R2" t="s">
        <v>30</v>
      </c>
      <c r="S2" t="s">
        <v>30</v>
      </c>
      <c r="T2" t="s">
        <v>30</v>
      </c>
      <c r="U2" t="s">
        <v>30</v>
      </c>
      <c r="V2" t="s">
        <v>30</v>
      </c>
      <c r="W2" t="s">
        <v>30</v>
      </c>
      <c r="X2" t="s">
        <v>30</v>
      </c>
      <c r="Y2" t="s">
        <v>30</v>
      </c>
      <c r="Z2" t="s">
        <v>30</v>
      </c>
      <c r="AA2" t="s">
        <v>30</v>
      </c>
      <c r="AB2" t="s">
        <v>30</v>
      </c>
      <c r="AC2">
        <f>IF(AND(G2="",C2="",D2="",F2=""),"",IF(G2&lt;&gt;"",G2,C2&amp;"|"&amp;D2&amp;"|"&amp;F2))</f>
      </c>
      <c r="AD2" t="s">
        <v>30</v>
      </c>
    </row>
    <row r="3" spans="1:30" x14ac:dyDescent="0.2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>
        <f>IFERROR(M3/L3,0)</f>
      </c>
      <c r="P3" t="s">
        <v>30</v>
      </c>
      <c r="Q3">
        <f>IFERROR(P3/N3,0)</f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30</v>
      </c>
      <c r="Y3" t="s">
        <v>30</v>
      </c>
      <c r="Z3" t="s">
        <v>30</v>
      </c>
      <c r="AA3" t="s">
        <v>30</v>
      </c>
      <c r="AB3" t="s">
        <v>30</v>
      </c>
      <c r="AC3">
        <f>IF(AND(G3="",C3="",D3="",F3=""),"",IF(G3&lt;&gt;"",G3,C3&amp;"|"&amp;D3&amp;"|"&amp;F3))</f>
      </c>
      <c r="AD3" t="s">
        <v>30</v>
      </c>
    </row>
    <row r="4" spans="1:30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>
        <f>IFERROR(M4/L4,0)</f>
      </c>
      <c r="P4" t="s">
        <v>30</v>
      </c>
      <c r="Q4">
        <f>IFERROR(P4/N4,0)</f>
      </c>
      <c r="R4" t="s">
        <v>30</v>
      </c>
      <c r="S4" t="s">
        <v>30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  <c r="AC4">
        <f>IF(AND(G4="",C4="",D4="",F4=""),"",IF(G4&lt;&gt;"",G4,C4&amp;"|"&amp;D4&amp;"|"&amp;F4))</f>
      </c>
      <c r="AD4" t="s">
        <v>30</v>
      </c>
    </row>
    <row r="5" spans="1:30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>
        <f>IFERROR(M5/L5,0)</f>
      </c>
      <c r="P5" t="s">
        <v>30</v>
      </c>
      <c r="Q5">
        <f>IFERROR(P5/N5,0)</f>
      </c>
      <c r="R5" t="s">
        <v>30</v>
      </c>
      <c r="S5" t="s">
        <v>30</v>
      </c>
      <c r="T5" t="s">
        <v>30</v>
      </c>
      <c r="U5" t="s">
        <v>30</v>
      </c>
      <c r="V5" t="s">
        <v>30</v>
      </c>
      <c r="W5" t="s">
        <v>30</v>
      </c>
      <c r="X5" t="s">
        <v>30</v>
      </c>
      <c r="Y5" t="s">
        <v>30</v>
      </c>
      <c r="Z5" t="s">
        <v>30</v>
      </c>
      <c r="AA5" t="s">
        <v>30</v>
      </c>
      <c r="AB5" t="s">
        <v>30</v>
      </c>
      <c r="AC5">
        <f>IF(AND(G5="",C5="",D5="",F5=""),"",IF(G5&lt;&gt;"",G5,C5&amp;"|"&amp;D5&amp;"|"&amp;F5))</f>
      </c>
      <c r="AD5" t="s">
        <v>30</v>
      </c>
    </row>
    <row r="6" spans="1:30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>
        <f>IFERROR(M6/L6,0)</f>
      </c>
      <c r="P6" t="s">
        <v>30</v>
      </c>
      <c r="Q6">
        <f>IFERROR(P6/N6,0)</f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30</v>
      </c>
      <c r="Y6" t="s">
        <v>30</v>
      </c>
      <c r="Z6" t="s">
        <v>30</v>
      </c>
      <c r="AA6" t="s">
        <v>30</v>
      </c>
      <c r="AB6" t="s">
        <v>30</v>
      </c>
      <c r="AC6">
        <f>IF(AND(G6="",C6="",D6="",F6=""),"",IF(G6&lt;&gt;"",G6,C6&amp;"|"&amp;D6&amp;"|"&amp;F6))</f>
      </c>
      <c r="AD6" t="s">
        <v>30</v>
      </c>
    </row>
    <row r="7" spans="1:30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>
        <f>IFERROR(M7/L7,0)</f>
      </c>
      <c r="P7" t="s">
        <v>30</v>
      </c>
      <c r="Q7">
        <f>IFERROR(P7/N7,0)</f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30</v>
      </c>
      <c r="Y7" t="s">
        <v>30</v>
      </c>
      <c r="Z7" t="s">
        <v>30</v>
      </c>
      <c r="AA7" t="s">
        <v>30</v>
      </c>
      <c r="AB7" t="s">
        <v>30</v>
      </c>
      <c r="AC7">
        <f>IF(AND(G7="",C7="",D7="",F7=""),"",IF(G7&lt;&gt;"",G7,C7&amp;"|"&amp;D7&amp;"|"&amp;F7))</f>
      </c>
      <c r="AD7" t="s">
        <v>30</v>
      </c>
    </row>
    <row r="8" spans="1:30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>
        <f>IFERROR(M8/L8,0)</f>
      </c>
      <c r="P8" t="s">
        <v>30</v>
      </c>
      <c r="Q8">
        <f>IFERROR(P8/N8,0)</f>
      </c>
      <c r="R8" t="s">
        <v>30</v>
      </c>
      <c r="S8" t="s">
        <v>30</v>
      </c>
      <c r="T8" t="s">
        <v>30</v>
      </c>
      <c r="U8" t="s">
        <v>30</v>
      </c>
      <c r="V8" t="s">
        <v>30</v>
      </c>
      <c r="W8" t="s">
        <v>30</v>
      </c>
      <c r="X8" t="s">
        <v>30</v>
      </c>
      <c r="Y8" t="s">
        <v>30</v>
      </c>
      <c r="Z8" t="s">
        <v>30</v>
      </c>
      <c r="AA8" t="s">
        <v>30</v>
      </c>
      <c r="AB8" t="s">
        <v>30</v>
      </c>
      <c r="AC8">
        <f>IF(AND(G8="",C8="",D8="",F8=""),"",IF(G8&lt;&gt;"",G8,C8&amp;"|"&amp;D8&amp;"|"&amp;F8))</f>
      </c>
      <c r="AD8" t="s">
        <v>30</v>
      </c>
    </row>
    <row r="9" spans="1:30" x14ac:dyDescent="0.25">
      <c r="A9" t="s">
        <v>30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>
        <f>IFERROR(M9/L9,0)</f>
      </c>
      <c r="P9" t="s">
        <v>30</v>
      </c>
      <c r="Q9">
        <f>IFERROR(P9/N9,0)</f>
      </c>
      <c r="R9" t="s">
        <v>30</v>
      </c>
      <c r="S9" t="s">
        <v>30</v>
      </c>
      <c r="T9" t="s">
        <v>30</v>
      </c>
      <c r="U9" t="s">
        <v>30</v>
      </c>
      <c r="V9" t="s">
        <v>30</v>
      </c>
      <c r="W9" t="s">
        <v>30</v>
      </c>
      <c r="X9" t="s">
        <v>30</v>
      </c>
      <c r="Y9" t="s">
        <v>30</v>
      </c>
      <c r="Z9" t="s">
        <v>30</v>
      </c>
      <c r="AA9" t="s">
        <v>30</v>
      </c>
      <c r="AB9" t="s">
        <v>30</v>
      </c>
      <c r="AC9">
        <f>IF(AND(G9="",C9="",D9="",F9=""),"",IF(G9&lt;&gt;"",G9,C9&amp;"|"&amp;D9&amp;"|"&amp;F9))</f>
      </c>
      <c r="AD9" t="s">
        <v>30</v>
      </c>
    </row>
    <row r="10" spans="1:30" x14ac:dyDescent="0.25">
      <c r="A10" t="s">
        <v>30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>
        <f>IFERROR(M10/L10,0)</f>
      </c>
      <c r="P10" t="s">
        <v>30</v>
      </c>
      <c r="Q10">
        <f>IFERROR(P10/N10,0)</f>
      </c>
      <c r="R10" t="s">
        <v>30</v>
      </c>
      <c r="S10" t="s">
        <v>30</v>
      </c>
      <c r="T10" t="s">
        <v>30</v>
      </c>
      <c r="U10" t="s">
        <v>30</v>
      </c>
      <c r="V10" t="s">
        <v>30</v>
      </c>
      <c r="W10" t="s">
        <v>30</v>
      </c>
      <c r="X10" t="s">
        <v>30</v>
      </c>
      <c r="Y10" t="s">
        <v>30</v>
      </c>
      <c r="Z10" t="s">
        <v>30</v>
      </c>
      <c r="AA10" t="s">
        <v>30</v>
      </c>
      <c r="AB10" t="s">
        <v>30</v>
      </c>
      <c r="AC10">
        <f>IF(AND(G10="",C10="",D10="",F10=""),"",IF(G10&lt;&gt;"",G10,C10&amp;"|"&amp;D10&amp;"|"&amp;F10))</f>
      </c>
      <c r="AD10" t="s">
        <v>30</v>
      </c>
    </row>
    <row r="11" spans="1:30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>
        <f>IFERROR(M11/L11,0)</f>
      </c>
      <c r="P11" t="s">
        <v>30</v>
      </c>
      <c r="Q11">
        <f>IFERROR(P11/N11,0)</f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>
        <f>IF(AND(G11="",C11="",D11="",F11=""),"",IF(G11&lt;&gt;"",G11,C11&amp;"|"&amp;D11&amp;"|"&amp;F11))</f>
      </c>
      <c r="AD11" t="s">
        <v>30</v>
      </c>
    </row>
    <row r="12" spans="1:30" x14ac:dyDescent="0.25">
      <c r="A12" t="s">
        <v>30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>
        <f>IFERROR(M12/L12,0)</f>
      </c>
      <c r="P12" t="s">
        <v>30</v>
      </c>
      <c r="Q12">
        <f>IFERROR(P12/N12,0)</f>
      </c>
      <c r="R12" t="s">
        <v>30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30</v>
      </c>
      <c r="Y12" t="s">
        <v>30</v>
      </c>
      <c r="Z12" t="s">
        <v>30</v>
      </c>
      <c r="AA12" t="s">
        <v>30</v>
      </c>
      <c r="AB12" t="s">
        <v>30</v>
      </c>
      <c r="AC12">
        <f>IF(AND(G12="",C12="",D12="",F12=""),"",IF(G12&lt;&gt;"",G12,C12&amp;"|"&amp;D12&amp;"|"&amp;F12))</f>
      </c>
      <c r="AD12" t="s">
        <v>30</v>
      </c>
    </row>
    <row r="13" spans="1:30" x14ac:dyDescent="0.25">
      <c r="A13" t="s">
        <v>30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30</v>
      </c>
      <c r="N13" t="s">
        <v>30</v>
      </c>
      <c r="O13">
        <f>IFERROR(M13/L13,0)</f>
      </c>
      <c r="P13" t="s">
        <v>30</v>
      </c>
      <c r="Q13">
        <f>IFERROR(P13/N13,0)</f>
      </c>
      <c r="R13" t="s">
        <v>30</v>
      </c>
      <c r="S13" t="s">
        <v>30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>
        <f>IF(AND(G13="",C13="",D13="",F13=""),"",IF(G13&lt;&gt;"",G13,C13&amp;"|"&amp;D13&amp;"|"&amp;F13))</f>
      </c>
      <c r="AD13" t="s">
        <v>30</v>
      </c>
    </row>
    <row r="14" spans="1:30" x14ac:dyDescent="0.25">
      <c r="A14" t="s">
        <v>30</v>
      </c>
      <c r="B14" t="s">
        <v>30</v>
      </c>
      <c r="C14" t="s">
        <v>30</v>
      </c>
      <c r="D14" t="s">
        <v>30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>
        <f>IFERROR(M14/L14,0)</f>
      </c>
      <c r="P14" t="s">
        <v>30</v>
      </c>
      <c r="Q14">
        <f>IFERROR(P14/N14,0)</f>
      </c>
      <c r="R14" t="s">
        <v>30</v>
      </c>
      <c r="S14" t="s">
        <v>30</v>
      </c>
      <c r="T14" t="s">
        <v>30</v>
      </c>
      <c r="U14" t="s">
        <v>30</v>
      </c>
      <c r="V14" t="s">
        <v>30</v>
      </c>
      <c r="W14" t="s">
        <v>30</v>
      </c>
      <c r="X14" t="s">
        <v>30</v>
      </c>
      <c r="Y14" t="s">
        <v>30</v>
      </c>
      <c r="Z14" t="s">
        <v>30</v>
      </c>
      <c r="AA14" t="s">
        <v>30</v>
      </c>
      <c r="AB14" t="s">
        <v>30</v>
      </c>
      <c r="AC14">
        <f>IF(AND(G14="",C14="",D14="",F14=""),"",IF(G14&lt;&gt;"",G14,C14&amp;"|"&amp;D14&amp;"|"&amp;F14))</f>
      </c>
      <c r="AD14" t="s">
        <v>30</v>
      </c>
    </row>
    <row r="15" spans="1:30" x14ac:dyDescent="0.25">
      <c r="A15" t="s">
        <v>30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>
        <f>IFERROR(M15/L15,0)</f>
      </c>
      <c r="P15" t="s">
        <v>30</v>
      </c>
      <c r="Q15">
        <f>IFERROR(P15/N15,0)</f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30</v>
      </c>
      <c r="Y15" t="s">
        <v>30</v>
      </c>
      <c r="Z15" t="s">
        <v>30</v>
      </c>
      <c r="AA15" t="s">
        <v>30</v>
      </c>
      <c r="AB15" t="s">
        <v>30</v>
      </c>
      <c r="AC15">
        <f>IF(AND(G15="",C15="",D15="",F15=""),"",IF(G15&lt;&gt;"",G15,C15&amp;"|"&amp;D15&amp;"|"&amp;F15))</f>
      </c>
      <c r="AD15" t="s">
        <v>30</v>
      </c>
    </row>
    <row r="16" spans="1:30" x14ac:dyDescent="0.25">
      <c r="A16" t="s">
        <v>30</v>
      </c>
      <c r="B16" t="s">
        <v>30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30</v>
      </c>
      <c r="M16" t="s">
        <v>30</v>
      </c>
      <c r="N16" t="s">
        <v>30</v>
      </c>
      <c r="O16">
        <f>IFERROR(M16/L16,0)</f>
      </c>
      <c r="P16" t="s">
        <v>30</v>
      </c>
      <c r="Q16">
        <f>IFERROR(P16/N16,0)</f>
      </c>
      <c r="R16" t="s">
        <v>30</v>
      </c>
      <c r="S16" t="s">
        <v>30</v>
      </c>
      <c r="T16" t="s">
        <v>30</v>
      </c>
      <c r="U16" t="s">
        <v>30</v>
      </c>
      <c r="V16" t="s">
        <v>30</v>
      </c>
      <c r="W16" t="s">
        <v>30</v>
      </c>
      <c r="X16" t="s">
        <v>30</v>
      </c>
      <c r="Y16" t="s">
        <v>30</v>
      </c>
      <c r="Z16" t="s">
        <v>30</v>
      </c>
      <c r="AA16" t="s">
        <v>30</v>
      </c>
      <c r="AB16" t="s">
        <v>30</v>
      </c>
      <c r="AC16">
        <f>IF(AND(G16="",C16="",D16="",F16=""),"",IF(G16&lt;&gt;"",G16,C16&amp;"|"&amp;D16&amp;"|"&amp;F16))</f>
      </c>
      <c r="AD16" t="s">
        <v>30</v>
      </c>
    </row>
    <row r="17" spans="1:30" x14ac:dyDescent="0.25">
      <c r="A17" t="s">
        <v>30</v>
      </c>
      <c r="B17" t="s">
        <v>30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>
        <f>IFERROR(M17/L17,0)</f>
      </c>
      <c r="P17" t="s">
        <v>30</v>
      </c>
      <c r="Q17">
        <f>IFERROR(P17/N17,0)</f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>
        <f>IF(AND(G17="",C17="",D17="",F17=""),"",IF(G17&lt;&gt;"",G17,C17&amp;"|"&amp;D17&amp;"|"&amp;F17))</f>
      </c>
      <c r="AD17" t="s">
        <v>30</v>
      </c>
    </row>
    <row r="18" spans="1:30" x14ac:dyDescent="0.25">
      <c r="A18" t="s">
        <v>30</v>
      </c>
      <c r="B18" t="s">
        <v>30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>
        <f>IFERROR(M18/L18,0)</f>
      </c>
      <c r="P18" t="s">
        <v>30</v>
      </c>
      <c r="Q18">
        <f>IFERROR(P18/N18,0)</f>
      </c>
      <c r="R18" t="s">
        <v>30</v>
      </c>
      <c r="S18" t="s">
        <v>30</v>
      </c>
      <c r="T18" t="s">
        <v>30</v>
      </c>
      <c r="U18" t="s">
        <v>30</v>
      </c>
      <c r="V18" t="s">
        <v>30</v>
      </c>
      <c r="W18" t="s">
        <v>30</v>
      </c>
      <c r="X18" t="s">
        <v>30</v>
      </c>
      <c r="Y18" t="s">
        <v>30</v>
      </c>
      <c r="Z18" t="s">
        <v>30</v>
      </c>
      <c r="AA18" t="s">
        <v>30</v>
      </c>
      <c r="AB18" t="s">
        <v>30</v>
      </c>
      <c r="AC18">
        <f>IF(AND(G18="",C18="",D18="",F18=""),"",IF(G18&lt;&gt;"",G18,C18&amp;"|"&amp;D18&amp;"|"&amp;F18))</f>
      </c>
      <c r="AD18" t="s">
        <v>30</v>
      </c>
    </row>
    <row r="19" spans="1:30" x14ac:dyDescent="0.25">
      <c r="A19" t="s">
        <v>30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>
        <f>IFERROR(M19/L19,0)</f>
      </c>
      <c r="P19" t="s">
        <v>30</v>
      </c>
      <c r="Q19">
        <f>IFERROR(P19/N19,0)</f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>
        <f>IF(AND(G19="",C19="",D19="",F19=""),"",IF(G19&lt;&gt;"",G19,C19&amp;"|"&amp;D19&amp;"|"&amp;F19))</f>
      </c>
      <c r="AD19" t="s">
        <v>30</v>
      </c>
    </row>
    <row r="20" spans="1:30" x14ac:dyDescent="0.25">
      <c r="A20" t="s">
        <v>30</v>
      </c>
      <c r="B20" t="s">
        <v>30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>
        <f>IFERROR(M20/L20,0)</f>
      </c>
      <c r="P20" t="s">
        <v>30</v>
      </c>
      <c r="Q20">
        <f>IFERROR(P20/N20,0)</f>
      </c>
      <c r="R20" t="s">
        <v>30</v>
      </c>
      <c r="S20" t="s">
        <v>30</v>
      </c>
      <c r="T20" t="s">
        <v>30</v>
      </c>
      <c r="U20" t="s">
        <v>30</v>
      </c>
      <c r="V20" t="s">
        <v>30</v>
      </c>
      <c r="W20" t="s">
        <v>30</v>
      </c>
      <c r="X20" t="s">
        <v>30</v>
      </c>
      <c r="Y20" t="s">
        <v>30</v>
      </c>
      <c r="Z20" t="s">
        <v>30</v>
      </c>
      <c r="AA20" t="s">
        <v>30</v>
      </c>
      <c r="AB20" t="s">
        <v>30</v>
      </c>
      <c r="AC20">
        <f>IF(AND(G20="",C20="",D20="",F20=""),"",IF(G20&lt;&gt;"",G20,C20&amp;"|"&amp;D20&amp;"|"&amp;F20))</f>
      </c>
      <c r="AD20" t="s">
        <v>30</v>
      </c>
    </row>
    <row r="21" spans="1:30" x14ac:dyDescent="0.25">
      <c r="A21" t="s">
        <v>30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>
        <f>IFERROR(M21/L21,0)</f>
      </c>
      <c r="P21" t="s">
        <v>30</v>
      </c>
      <c r="Q21">
        <f>IFERROR(P21/N21,0)</f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30</v>
      </c>
      <c r="AA21" t="s">
        <v>30</v>
      </c>
      <c r="AB21" t="s">
        <v>30</v>
      </c>
      <c r="AC21">
        <f>IF(AND(G21="",C21="",D21="",F21=""),"",IF(G21&lt;&gt;"",G21,C21&amp;"|"&amp;D21&amp;"|"&amp;F21))</f>
      </c>
      <c r="AD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FormatPr defaultRowHeight="15" outlineLevelRow="0" outlineLevelCol="0" x14ac:dyDescent="55"/>
  <sheetData>
    <row r="1" spans="1:15" x14ac:dyDescent="0.25">
      <c r="A1" t="s">
        <v>31</v>
      </c>
      <c r="B1" t="s">
        <v>0</v>
      </c>
      <c r="C1" t="s">
        <v>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26</v>
      </c>
      <c r="O1" t="s">
        <v>29</v>
      </c>
    </row>
    <row r="2" spans="1:15" x14ac:dyDescent="0.25">
      <c r="A2" t="s">
        <v>30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 t="s">
        <v>30</v>
      </c>
    </row>
    <row r="3" spans="1:15" x14ac:dyDescent="0.25">
      <c r="A3" t="s">
        <v>30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</row>
    <row r="4" spans="1:15" x14ac:dyDescent="0.25">
      <c r="A4" t="s">
        <v>30</v>
      </c>
      <c r="B4" t="s">
        <v>30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</row>
    <row r="5" spans="1:15" x14ac:dyDescent="0.25">
      <c r="A5" t="s">
        <v>30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 t="s">
        <v>30</v>
      </c>
    </row>
    <row r="6" spans="1:15" x14ac:dyDescent="0.25">
      <c r="A6" t="s">
        <v>30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</row>
    <row r="7" spans="1:15" x14ac:dyDescent="0.25">
      <c r="A7" t="s">
        <v>30</v>
      </c>
      <c r="B7" t="s">
        <v>30</v>
      </c>
      <c r="C7" t="s">
        <v>30</v>
      </c>
      <c r="D7" t="s">
        <v>30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</row>
    <row r="8" spans="1:15" x14ac:dyDescent="0.25">
      <c r="A8" t="s">
        <v>30</v>
      </c>
      <c r="B8" t="s">
        <v>30</v>
      </c>
      <c r="C8" t="s">
        <v>30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</row>
    <row r="9" spans="1:15" x14ac:dyDescent="0.25">
      <c r="A9" t="s">
        <v>30</v>
      </c>
      <c r="B9" t="s">
        <v>30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 t="s">
        <v>30</v>
      </c>
    </row>
    <row r="10" spans="1:15" x14ac:dyDescent="0.25">
      <c r="A10" t="s">
        <v>30</v>
      </c>
      <c r="B10" t="s">
        <v>30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</row>
    <row r="11" spans="1:15" x14ac:dyDescent="0.25">
      <c r="A11" t="s">
        <v>30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 x14ac:dyDescent="0.25">
      <c r="A2" t="s">
        <v>0</v>
      </c>
      <c r="B2" t="s">
        <v>47</v>
      </c>
      <c r="C2" t="s">
        <v>48</v>
      </c>
      <c r="D2" t="s">
        <v>49</v>
      </c>
      <c r="E2" t="s">
        <v>50</v>
      </c>
    </row>
    <row r="3" spans="1:5" x14ac:dyDescent="0.25">
      <c r="A3" t="s">
        <v>1</v>
      </c>
      <c r="B3" t="s">
        <v>47</v>
      </c>
      <c r="C3" t="s">
        <v>51</v>
      </c>
      <c r="D3" t="s">
        <v>52</v>
      </c>
      <c r="E3" t="s">
        <v>53</v>
      </c>
    </row>
    <row r="4" spans="1:5" x14ac:dyDescent="0.25">
      <c r="A4" t="s">
        <v>54</v>
      </c>
      <c r="B4" t="s">
        <v>47</v>
      </c>
      <c r="C4" t="s">
        <v>48</v>
      </c>
      <c r="D4" t="s">
        <v>55</v>
      </c>
      <c r="E4" t="s">
        <v>56</v>
      </c>
    </row>
    <row r="5" spans="1:5" x14ac:dyDescent="0.25">
      <c r="A5" t="s">
        <v>4</v>
      </c>
      <c r="B5" t="s">
        <v>47</v>
      </c>
      <c r="C5" t="s">
        <v>48</v>
      </c>
      <c r="D5" t="s">
        <v>57</v>
      </c>
      <c r="E5" t="s">
        <v>58</v>
      </c>
    </row>
    <row r="6" spans="1:5" x14ac:dyDescent="0.25">
      <c r="A6" t="s">
        <v>5</v>
      </c>
      <c r="B6" t="s">
        <v>47</v>
      </c>
      <c r="C6" t="s">
        <v>48</v>
      </c>
      <c r="D6" t="s">
        <v>59</v>
      </c>
      <c r="E6" t="s">
        <v>60</v>
      </c>
    </row>
    <row r="7" spans="1:5" x14ac:dyDescent="0.25">
      <c r="A7" t="s">
        <v>6</v>
      </c>
      <c r="B7" t="s">
        <v>61</v>
      </c>
      <c r="C7" t="s">
        <v>62</v>
      </c>
      <c r="D7" t="s">
        <v>63</v>
      </c>
      <c r="E7" t="s">
        <v>64</v>
      </c>
    </row>
    <row r="8" spans="1:5" x14ac:dyDescent="0.25">
      <c r="A8" t="s">
        <v>65</v>
      </c>
      <c r="B8" t="s">
        <v>66</v>
      </c>
      <c r="C8" t="s">
        <v>67</v>
      </c>
      <c r="D8" t="s">
        <v>68</v>
      </c>
      <c r="E8" t="s">
        <v>69</v>
      </c>
    </row>
    <row r="9" spans="1:5" x14ac:dyDescent="0.25">
      <c r="A9" t="s">
        <v>14</v>
      </c>
      <c r="B9" t="s">
        <v>70</v>
      </c>
      <c r="C9" t="s">
        <v>71</v>
      </c>
      <c r="D9" t="s">
        <v>72</v>
      </c>
      <c r="E9" t="s">
        <v>73</v>
      </c>
    </row>
    <row r="10" spans="1:5" x14ac:dyDescent="0.25">
      <c r="A10" t="s">
        <v>15</v>
      </c>
      <c r="B10" t="s">
        <v>74</v>
      </c>
      <c r="C10" t="s">
        <v>67</v>
      </c>
      <c r="D10" t="s">
        <v>75</v>
      </c>
      <c r="E10" t="s">
        <v>76</v>
      </c>
    </row>
    <row r="11" spans="1:5" x14ac:dyDescent="0.25">
      <c r="A11" t="s">
        <v>16</v>
      </c>
      <c r="B11" t="s">
        <v>70</v>
      </c>
      <c r="C11" t="s">
        <v>71</v>
      </c>
      <c r="D11" t="s">
        <v>77</v>
      </c>
      <c r="E11" t="s">
        <v>78</v>
      </c>
    </row>
    <row r="12" spans="1:5" x14ac:dyDescent="0.25">
      <c r="A12" t="s">
        <v>25</v>
      </c>
      <c r="B12" t="s">
        <v>47</v>
      </c>
      <c r="C12" t="s">
        <v>79</v>
      </c>
      <c r="D12" t="s">
        <v>80</v>
      </c>
      <c r="E12" t="s">
        <v>81</v>
      </c>
    </row>
    <row r="13" spans="1:5" x14ac:dyDescent="0.25">
      <c r="A13" t="s">
        <v>27</v>
      </c>
      <c r="B13" t="s">
        <v>47</v>
      </c>
      <c r="C13" t="s">
        <v>79</v>
      </c>
      <c r="D13" t="s">
        <v>82</v>
      </c>
      <c r="E13" t="s">
        <v>83</v>
      </c>
    </row>
    <row r="14" spans="1:5" x14ac:dyDescent="0.25">
      <c r="A14" t="s">
        <v>28</v>
      </c>
      <c r="B14" t="s">
        <v>70</v>
      </c>
      <c r="C14" t="s">
        <v>48</v>
      </c>
      <c r="D14" t="s">
        <v>84</v>
      </c>
      <c r="E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42</v>
      </c>
      <c r="B1" t="s">
        <v>86</v>
      </c>
    </row>
    <row r="2" spans="1:2" x14ac:dyDescent="0.25">
      <c r="A2" t="s">
        <v>9</v>
      </c>
      <c r="B2" t="s">
        <v>87</v>
      </c>
    </row>
    <row r="3" spans="1:2" x14ac:dyDescent="0.25">
      <c r="A3" t="s">
        <v>19</v>
      </c>
      <c r="B3" t="s">
        <v>88</v>
      </c>
    </row>
    <row r="4" spans="1:2" x14ac:dyDescent="0.25">
      <c r="A4" t="s">
        <v>22</v>
      </c>
      <c r="B4" t="s">
        <v>89</v>
      </c>
    </row>
    <row r="5" spans="1:2" x14ac:dyDescent="0.25">
      <c r="A5" t="s">
        <v>25</v>
      </c>
      <c r="B5" t="s">
        <v>90</v>
      </c>
    </row>
    <row r="6" spans="1:2" x14ac:dyDescent="0.25">
      <c r="A6" t="s">
        <v>27</v>
      </c>
      <c r="B6" t="s">
        <v>91</v>
      </c>
    </row>
    <row r="7" spans="1:2" x14ac:dyDescent="0.25">
      <c r="A7" t="s">
        <v>92</v>
      </c>
      <c r="B7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94</v>
      </c>
      <c r="B1" t="s">
        <v>95</v>
      </c>
      <c r="C1" t="s">
        <v>96</v>
      </c>
    </row>
    <row r="2" spans="1:3" x14ac:dyDescent="0.25">
      <c r="A2" t="s">
        <v>97</v>
      </c>
      <c r="B2">
        <f>COUNTIF('笔记采集'!AB2:AB1000,"有效")</f>
      </c>
      <c r="C2" t="s">
        <v>30</v>
      </c>
    </row>
    <row r="3" spans="1:3" x14ac:dyDescent="0.25">
      <c r="A3" t="s">
        <v>98</v>
      </c>
      <c r="B3">
        <f>SUMPRODUCT(--('笔记采集'!M2:M1000&gt;'笔记采集'!L2:L1000),--('笔记采集'!AB2:AB1000="有效"))</f>
      </c>
      <c r="C3" t="s">
        <v>99</v>
      </c>
    </row>
    <row r="4" spans="1:3" x14ac:dyDescent="0.25">
      <c r="A4" t="s">
        <v>100</v>
      </c>
      <c r="B4">
        <f>IFERROR(AVERAGEIF('笔记采集'!O2:O1000,"&gt;0"),0)</f>
      </c>
      <c r="C4" t="s">
        <v>30</v>
      </c>
    </row>
    <row r="5" spans="1:3" x14ac:dyDescent="0.25">
      <c r="A5" t="s">
        <v>101</v>
      </c>
      <c r="B5">
        <f>COUNTIFS('笔记采集'!Q2:Q1000,"&gt;=0.2",'笔记采集'!AB2:AB1000,"有效")</f>
      </c>
      <c r="C5" t="s">
        <v>102</v>
      </c>
    </row>
    <row r="6" spans="1:3" x14ac:dyDescent="0.25">
      <c r="A6" t="s">
        <v>103</v>
      </c>
      <c r="B6">
        <f>COUNTIFS('笔记采集'!U2:U1000,"&lt;&gt;",'笔记采集'!AB2:AB1000,"有效")</f>
      </c>
      <c r="C6" t="s">
        <v>30</v>
      </c>
    </row>
    <row r="7" spans="1:3" x14ac:dyDescent="0.25">
      <c r="A7" t="s">
        <v>104</v>
      </c>
      <c r="B7">
        <f>COUNTIF('评论需求样本'!A2:A2000,"&lt;&gt;")</f>
      </c>
      <c r="C7" t="s">
        <v>30</v>
      </c>
    </row>
    <row r="8" spans="1:3" x14ac:dyDescent="0.25">
      <c r="A8" t="s">
        <v>105</v>
      </c>
      <c r="B8" t="s">
        <v>106</v>
      </c>
      <c r="C8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笔记采集</vt:lpstr>
      <vt:lpstr>评论需求样本</vt:lpstr>
      <vt:lpstr>字段说明</vt:lpstr>
      <vt:lpstr>枚举值</vt:lpstr>
      <vt:lpstr>采集看板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2026-08-29T09:56:24Z</dcterms:created>
  <dcterms:modified xsi:type="dcterms:W3CDTF">2026-08-29T09:56:24Z</dcterms:modified>
</cp:coreProperties>
</file>