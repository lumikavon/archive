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评分录入" state="visible" r:id="rId4"/>
    <sheet sheetId="2" name="评分标准" state="visible" r:id="rId5"/>
    <sheet sheetId="3" name="门禁参数" state="visible" r:id="rId6"/>
    <sheet sheetId="4" name="看板" state="visible" r:id="rId7"/>
  </sheets>
  <calcPr calcId="171027"/>
</workbook>
</file>

<file path=xl/sharedStrings.xml><?xml version="1.0" encoding="utf-8"?>
<sst xmlns="http://schemas.openxmlformats.org/spreadsheetml/2006/main" count="539" uniqueCount="109">
  <si>
    <t>track_id</t>
  </si>
  <si>
    <t>评估日期</t>
  </si>
  <si>
    <t>主赛道</t>
  </si>
  <si>
    <t>细分赛道</t>
  </si>
  <si>
    <t>用户任务</t>
  </si>
  <si>
    <t>目标人群</t>
  </si>
  <si>
    <t>痛点强度1-5</t>
  </si>
  <si>
    <t>小红书需求强度1-5</t>
  </si>
  <si>
    <t>收藏/保存意图1-5</t>
  </si>
  <si>
    <t>求资料信号1-5</t>
  </si>
  <si>
    <t>付费验证1-5</t>
  </si>
  <si>
    <t>竞争友好度1-5</t>
  </si>
  <si>
    <t>差异化空间1-5</t>
  </si>
  <si>
    <t>制作成本友好度1-5</t>
  </si>
  <si>
    <t>更新/复购潜力1-5</t>
  </si>
  <si>
    <t>合规友好度1-5</t>
  </si>
  <si>
    <t>证据充分度1-5</t>
  </si>
  <si>
    <t>总分0-100</t>
  </si>
  <si>
    <t>自动决策</t>
  </si>
  <si>
    <t>证据条数</t>
  </si>
  <si>
    <t>最近核验日期</t>
  </si>
  <si>
    <t>核心证据URL</t>
  </si>
  <si>
    <t>风险/备注</t>
  </si>
  <si>
    <t/>
  </si>
  <si>
    <t>指标</t>
  </si>
  <si>
    <t>权重</t>
  </si>
  <si>
    <t>1分锚点</t>
  </si>
  <si>
    <t>3分锚点</t>
  </si>
  <si>
    <t>5分锚点</t>
  </si>
  <si>
    <t>优先证据</t>
  </si>
  <si>
    <t>痛点强度</t>
  </si>
  <si>
    <t>低频/可忽略</t>
  </si>
  <si>
    <t>明显麻烦但有普通替代</t>
  </si>
  <si>
    <t>高损失/高焦虑/高犯错成本</t>
  </si>
  <si>
    <t>抱怨、复盘、失败案例</t>
  </si>
  <si>
    <t>小红书需求强度</t>
  </si>
  <si>
    <t>几乎无相关近期信号</t>
  </si>
  <si>
    <t>持续有内容但互动一般</t>
  </si>
  <si>
    <t>近90天持续有高互动/相关内容</t>
  </si>
  <si>
    <t>搜索结果、近期代表笔记</t>
  </si>
  <si>
    <t>收藏/保存意图</t>
  </si>
  <si>
    <t>偏娱乐/一次性</t>
  </si>
  <si>
    <t>存在工具性收藏</t>
  </si>
  <si>
    <t>清单/模板/流程型强保存</t>
  </si>
  <si>
    <t>收藏数、收藏/点赞比</t>
  </si>
  <si>
    <t>求资料信号</t>
  </si>
  <si>
    <t>几乎无人索取</t>
  </si>
  <si>
    <t>偶有求模板/完整版</t>
  </si>
  <si>
    <t>大量求/蹲/下载/购买</t>
  </si>
  <si>
    <t>评论需求样本</t>
  </si>
  <si>
    <t>付费验证</t>
  </si>
  <si>
    <t>无交易证据</t>
  </si>
  <si>
    <t>少量在售/评价</t>
  </si>
  <si>
    <t>多平台持续成交/成熟定价</t>
  </si>
  <si>
    <t>商品、销量、评价、价格</t>
  </si>
  <si>
    <t>竞争友好度</t>
  </si>
  <si>
    <t>高度同质/价格战</t>
  </si>
  <si>
    <t>竞争中等</t>
  </si>
  <si>
    <t>供给少/质量差/缺口明显</t>
  </si>
  <si>
    <t>竞品数量、同质化</t>
  </si>
  <si>
    <t>差异化空间</t>
  </si>
  <si>
    <t>只能换皮</t>
  </si>
  <si>
    <t>可细分优化</t>
  </si>
  <si>
    <t>可工具化/自动化/持续更新</t>
  </si>
  <si>
    <t>差评、缺项、新形态</t>
  </si>
  <si>
    <t>制作成本友好度</t>
  </si>
  <si>
    <t>生产维护成本高</t>
  </si>
  <si>
    <t>数天可完成MVP</t>
  </si>
  <si>
    <t>1天内可形成MVP</t>
  </si>
  <si>
    <t>工时、依赖、更新难度</t>
  </si>
  <si>
    <t>更新/复购潜力</t>
  </si>
  <si>
    <t>一次性且易过时</t>
  </si>
  <si>
    <t>季度/年度更新</t>
  </si>
  <si>
    <t>持续更新/系列化/复购</t>
  </si>
  <si>
    <t>政策、工具、阶段变化</t>
  </si>
  <si>
    <t>合规友好度</t>
  </si>
  <si>
    <t>高版权/资质/违规风险</t>
  </si>
  <si>
    <t>可做但需严格审核</t>
  </si>
  <si>
    <t>版权清晰、类目明确、低风险</t>
  </si>
  <si>
    <t>官方规则、版权、监管</t>
  </si>
  <si>
    <t>权重合计</t>
  </si>
  <si>
    <t>参数</t>
  </si>
  <si>
    <t>值</t>
  </si>
  <si>
    <t>说明</t>
  </si>
  <si>
    <t>MVP门槛</t>
  </si>
  <si>
    <t>总分达到且证据充分度≥3时进入MVP</t>
  </si>
  <si>
    <t>观察门槛</t>
  </si>
  <si>
    <t>60–74.9分进入观察池</t>
  </si>
  <si>
    <t>最低证据充分度</t>
  </si>
  <si>
    <t>低于3不允许自动进入MVP</t>
  </si>
  <si>
    <t>建议最低证据条数</t>
  </si>
  <si>
    <t>至少覆盖2类独立证据</t>
  </si>
  <si>
    <t>近期信号窗口(天)</t>
  </si>
  <si>
    <t>趋势判断优先最近90天</t>
  </si>
  <si>
    <t>规则复核周期(天)</t>
  </si>
  <si>
    <t>至少每30天复核</t>
  </si>
  <si>
    <t>评分复核周期(天)</t>
  </si>
  <si>
    <t>建议每两周重算</t>
  </si>
  <si>
    <t>虚拟资料赛道机会评分看板</t>
  </si>
  <si>
    <t>候选赛道数</t>
  </si>
  <si>
    <t>已填写track_id</t>
  </si>
  <si>
    <t>平均总分</t>
  </si>
  <si>
    <t>进入MVP</t>
  </si>
  <si>
    <t>继续观察</t>
  </si>
  <si>
    <t>淘汰/搁置</t>
  </si>
  <si>
    <t>证据不足</t>
  </si>
  <si>
    <t>版本</t>
  </si>
  <si>
    <t>v1.0</t>
  </si>
  <si>
    <t>评分只做初筛，最终以真实支付验证为准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</si>
</sst>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"/>
  <sheetFormatPr defaultRowHeight="15" outlineLevelRow="0" outlineLevelCol="0" x14ac:dyDescent="5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>
        <f>G2*'评分标准'!$B$2/5+H2*'评分标准'!$B$3/5+I2*'评分标准'!$B$4/5+J2*'评分标准'!$B$5/5+K2*'评分标准'!$B$6/5+L2*'评分标准'!$B$7/5+M2*'评分标准'!$B$8/5+N2*'评分标准'!$B$9/5+O2*'评分标准'!$B$10/5+P2*'评分标准'!$B$11/5</f>
      </c>
      <c r="S2">
        <f>IF(A2="","",IF(Q2&lt;3,"证据不足",IF(R2&gt;='门禁参数'!$B$2,"进入MVP",IF(R2&gt;='门禁参数'!$B$3,"继续观察","淘汰/搁置"))))</f>
      </c>
      <c r="T2" t="s">
        <v>23</v>
      </c>
      <c r="U2" t="s">
        <v>23</v>
      </c>
      <c r="V2" t="s">
        <v>23</v>
      </c>
      <c r="W2" t="s">
        <v>23</v>
      </c>
    </row>
    <row r="3" spans="1:23" x14ac:dyDescent="0.25">
      <c r="A3" t="s">
        <v>23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>
        <f>G3*'评分标准'!$B$2/5+H3*'评分标准'!$B$3/5+I3*'评分标准'!$B$4/5+J3*'评分标准'!$B$5/5+K3*'评分标准'!$B$6/5+L3*'评分标准'!$B$7/5+M3*'评分标准'!$B$8/5+N3*'评分标准'!$B$9/5+O3*'评分标准'!$B$10/5+P3*'评分标准'!$B$11/5</f>
      </c>
      <c r="S3">
        <f>IF(A3="","",IF(Q3&lt;3,"证据不足",IF(R3&gt;='门禁参数'!$B$2,"进入MVP",IF(R3&gt;='门禁参数'!$B$3,"继续观察","淘汰/搁置"))))</f>
      </c>
      <c r="T3" t="s">
        <v>23</v>
      </c>
      <c r="U3" t="s">
        <v>23</v>
      </c>
      <c r="V3" t="s">
        <v>23</v>
      </c>
      <c r="W3" t="s">
        <v>23</v>
      </c>
    </row>
    <row r="4" spans="1:23" x14ac:dyDescent="0.25">
      <c r="A4" t="s">
        <v>23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>
        <f>G4*'评分标准'!$B$2/5+H4*'评分标准'!$B$3/5+I4*'评分标准'!$B$4/5+J4*'评分标准'!$B$5/5+K4*'评分标准'!$B$6/5+L4*'评分标准'!$B$7/5+M4*'评分标准'!$B$8/5+N4*'评分标准'!$B$9/5+O4*'评分标准'!$B$10/5+P4*'评分标准'!$B$11/5</f>
      </c>
      <c r="S4">
        <f>IF(A4="","",IF(Q4&lt;3,"证据不足",IF(R4&gt;='门禁参数'!$B$2,"进入MVP",IF(R4&gt;='门禁参数'!$B$3,"继续观察","淘汰/搁置"))))</f>
      </c>
      <c r="T4" t="s">
        <v>23</v>
      </c>
      <c r="U4" t="s">
        <v>23</v>
      </c>
      <c r="V4" t="s">
        <v>23</v>
      </c>
      <c r="W4" t="s">
        <v>23</v>
      </c>
    </row>
    <row r="5" spans="1:23" x14ac:dyDescent="0.25">
      <c r="A5" t="s">
        <v>23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>
        <f>G5*'评分标准'!$B$2/5+H5*'评分标准'!$B$3/5+I5*'评分标准'!$B$4/5+J5*'评分标准'!$B$5/5+K5*'评分标准'!$B$6/5+L5*'评分标准'!$B$7/5+M5*'评分标准'!$B$8/5+N5*'评分标准'!$B$9/5+O5*'评分标准'!$B$10/5+P5*'评分标准'!$B$11/5</f>
      </c>
      <c r="S5">
        <f>IF(A5="","",IF(Q5&lt;3,"证据不足",IF(R5&gt;='门禁参数'!$B$2,"进入MVP",IF(R5&gt;='门禁参数'!$B$3,"继续观察","淘汰/搁置"))))</f>
      </c>
      <c r="T5" t="s">
        <v>23</v>
      </c>
      <c r="U5" t="s">
        <v>23</v>
      </c>
      <c r="V5" t="s">
        <v>23</v>
      </c>
      <c r="W5" t="s">
        <v>23</v>
      </c>
    </row>
    <row r="6" spans="1:23" x14ac:dyDescent="0.25">
      <c r="A6" t="s">
        <v>23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>
        <f>G6*'评分标准'!$B$2/5+H6*'评分标准'!$B$3/5+I6*'评分标准'!$B$4/5+J6*'评分标准'!$B$5/5+K6*'评分标准'!$B$6/5+L6*'评分标准'!$B$7/5+M6*'评分标准'!$B$8/5+N6*'评分标准'!$B$9/5+O6*'评分标准'!$B$10/5+P6*'评分标准'!$B$11/5</f>
      </c>
      <c r="S6">
        <f>IF(A6="","",IF(Q6&lt;3,"证据不足",IF(R6&gt;='门禁参数'!$B$2,"进入MVP",IF(R6&gt;='门禁参数'!$B$3,"继续观察","淘汰/搁置"))))</f>
      </c>
      <c r="T6" t="s">
        <v>23</v>
      </c>
      <c r="U6" t="s">
        <v>23</v>
      </c>
      <c r="V6" t="s">
        <v>23</v>
      </c>
      <c r="W6" t="s">
        <v>23</v>
      </c>
    </row>
    <row r="7" spans="1:23" x14ac:dyDescent="0.25">
      <c r="A7" t="s">
        <v>23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>
        <f>G7*'评分标准'!$B$2/5+H7*'评分标准'!$B$3/5+I7*'评分标准'!$B$4/5+J7*'评分标准'!$B$5/5+K7*'评分标准'!$B$6/5+L7*'评分标准'!$B$7/5+M7*'评分标准'!$B$8/5+N7*'评分标准'!$B$9/5+O7*'评分标准'!$B$10/5+P7*'评分标准'!$B$11/5</f>
      </c>
      <c r="S7">
        <f>IF(A7="","",IF(Q7&lt;3,"证据不足",IF(R7&gt;='门禁参数'!$B$2,"进入MVP",IF(R7&gt;='门禁参数'!$B$3,"继续观察","淘汰/搁置"))))</f>
      </c>
      <c r="T7" t="s">
        <v>23</v>
      </c>
      <c r="U7" t="s">
        <v>23</v>
      </c>
      <c r="V7" t="s">
        <v>23</v>
      </c>
      <c r="W7" t="s">
        <v>23</v>
      </c>
    </row>
    <row r="8" spans="1:23" x14ac:dyDescent="0.25">
      <c r="A8" t="s">
        <v>23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>
        <f>G8*'评分标准'!$B$2/5+H8*'评分标准'!$B$3/5+I8*'评分标准'!$B$4/5+J8*'评分标准'!$B$5/5+K8*'评分标准'!$B$6/5+L8*'评分标准'!$B$7/5+M8*'评分标准'!$B$8/5+N8*'评分标准'!$B$9/5+O8*'评分标准'!$B$10/5+P8*'评分标准'!$B$11/5</f>
      </c>
      <c r="S8">
        <f>IF(A8="","",IF(Q8&lt;3,"证据不足",IF(R8&gt;='门禁参数'!$B$2,"进入MVP",IF(R8&gt;='门禁参数'!$B$3,"继续观察","淘汰/搁置"))))</f>
      </c>
      <c r="T8" t="s">
        <v>23</v>
      </c>
      <c r="U8" t="s">
        <v>23</v>
      </c>
      <c r="V8" t="s">
        <v>23</v>
      </c>
      <c r="W8" t="s">
        <v>23</v>
      </c>
    </row>
    <row r="9" spans="1:23" x14ac:dyDescent="0.25">
      <c r="A9" t="s">
        <v>23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>
        <f>G9*'评分标准'!$B$2/5+H9*'评分标准'!$B$3/5+I9*'评分标准'!$B$4/5+J9*'评分标准'!$B$5/5+K9*'评分标准'!$B$6/5+L9*'评分标准'!$B$7/5+M9*'评分标准'!$B$8/5+N9*'评分标准'!$B$9/5+O9*'评分标准'!$B$10/5+P9*'评分标准'!$B$11/5</f>
      </c>
      <c r="S9">
        <f>IF(A9="","",IF(Q9&lt;3,"证据不足",IF(R9&gt;='门禁参数'!$B$2,"进入MVP",IF(R9&gt;='门禁参数'!$B$3,"继续观察","淘汰/搁置"))))</f>
      </c>
      <c r="T9" t="s">
        <v>23</v>
      </c>
      <c r="U9" t="s">
        <v>23</v>
      </c>
      <c r="V9" t="s">
        <v>23</v>
      </c>
      <c r="W9" t="s">
        <v>23</v>
      </c>
    </row>
    <row r="10" spans="1:23" x14ac:dyDescent="0.25">
      <c r="A10" t="s">
        <v>23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>
        <f>G10*'评分标准'!$B$2/5+H10*'评分标准'!$B$3/5+I10*'评分标准'!$B$4/5+J10*'评分标准'!$B$5/5+K10*'评分标准'!$B$6/5+L10*'评分标准'!$B$7/5+M10*'评分标准'!$B$8/5+N10*'评分标准'!$B$9/5+O10*'评分标准'!$B$10/5+P10*'评分标准'!$B$11/5</f>
      </c>
      <c r="S10">
        <f>IF(A10="","",IF(Q10&lt;3,"证据不足",IF(R10&gt;='门禁参数'!$B$2,"进入MVP",IF(R10&gt;='门禁参数'!$B$3,"继续观察","淘汰/搁置"))))</f>
      </c>
      <c r="T10" t="s">
        <v>23</v>
      </c>
      <c r="U10" t="s">
        <v>23</v>
      </c>
      <c r="V10" t="s">
        <v>23</v>
      </c>
      <c r="W10" t="s">
        <v>23</v>
      </c>
    </row>
    <row r="11" spans="1:23" x14ac:dyDescent="0.25">
      <c r="A11" t="s">
        <v>23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>
        <f>G11*'评分标准'!$B$2/5+H11*'评分标准'!$B$3/5+I11*'评分标准'!$B$4/5+J11*'评分标准'!$B$5/5+K11*'评分标准'!$B$6/5+L11*'评分标准'!$B$7/5+M11*'评分标准'!$B$8/5+N11*'评分标准'!$B$9/5+O11*'评分标准'!$B$10/5+P11*'评分标准'!$B$11/5</f>
      </c>
      <c r="S11">
        <f>IF(A11="","",IF(Q11&lt;3,"证据不足",IF(R11&gt;='门禁参数'!$B$2,"进入MVP",IF(R11&gt;='门禁参数'!$B$3,"继续观察","淘汰/搁置"))))</f>
      </c>
      <c r="T11" t="s">
        <v>23</v>
      </c>
      <c r="U11" t="s">
        <v>23</v>
      </c>
      <c r="V11" t="s">
        <v>23</v>
      </c>
      <c r="W11" t="s">
        <v>23</v>
      </c>
    </row>
    <row r="12" spans="1:23" x14ac:dyDescent="0.25">
      <c r="A12" t="s">
        <v>23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>
        <f>G12*'评分标准'!$B$2/5+H12*'评分标准'!$B$3/5+I12*'评分标准'!$B$4/5+J12*'评分标准'!$B$5/5+K12*'评分标准'!$B$6/5+L12*'评分标准'!$B$7/5+M12*'评分标准'!$B$8/5+N12*'评分标准'!$B$9/5+O12*'评分标准'!$B$10/5+P12*'评分标准'!$B$11/5</f>
      </c>
      <c r="S12">
        <f>IF(A12="","",IF(Q12&lt;3,"证据不足",IF(R12&gt;='门禁参数'!$B$2,"进入MVP",IF(R12&gt;='门禁参数'!$B$3,"继续观察","淘汰/搁置"))))</f>
      </c>
      <c r="T12" t="s">
        <v>23</v>
      </c>
      <c r="U12" t="s">
        <v>23</v>
      </c>
      <c r="V12" t="s">
        <v>23</v>
      </c>
      <c r="W12" t="s">
        <v>23</v>
      </c>
    </row>
    <row r="13" spans="1:23" x14ac:dyDescent="0.25">
      <c r="A13" t="s">
        <v>23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>
        <f>G13*'评分标准'!$B$2/5+H13*'评分标准'!$B$3/5+I13*'评分标准'!$B$4/5+J13*'评分标准'!$B$5/5+K13*'评分标准'!$B$6/5+L13*'评分标准'!$B$7/5+M13*'评分标准'!$B$8/5+N13*'评分标准'!$B$9/5+O13*'评分标准'!$B$10/5+P13*'评分标准'!$B$11/5</f>
      </c>
      <c r="S13">
        <f>IF(A13="","",IF(Q13&lt;3,"证据不足",IF(R13&gt;='门禁参数'!$B$2,"进入MVP",IF(R13&gt;='门禁参数'!$B$3,"继续观察","淘汰/搁置"))))</f>
      </c>
      <c r="T13" t="s">
        <v>23</v>
      </c>
      <c r="U13" t="s">
        <v>23</v>
      </c>
      <c r="V13" t="s">
        <v>23</v>
      </c>
      <c r="W13" t="s">
        <v>23</v>
      </c>
    </row>
    <row r="14" spans="1:23" x14ac:dyDescent="0.25">
      <c r="A14" t="s">
        <v>23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>
        <f>G14*'评分标准'!$B$2/5+H14*'评分标准'!$B$3/5+I14*'评分标准'!$B$4/5+J14*'评分标准'!$B$5/5+K14*'评分标准'!$B$6/5+L14*'评分标准'!$B$7/5+M14*'评分标准'!$B$8/5+N14*'评分标准'!$B$9/5+O14*'评分标准'!$B$10/5+P14*'评分标准'!$B$11/5</f>
      </c>
      <c r="S14">
        <f>IF(A14="","",IF(Q14&lt;3,"证据不足",IF(R14&gt;='门禁参数'!$B$2,"进入MVP",IF(R14&gt;='门禁参数'!$B$3,"继续观察","淘汰/搁置"))))</f>
      </c>
      <c r="T14" t="s">
        <v>23</v>
      </c>
      <c r="U14" t="s">
        <v>23</v>
      </c>
      <c r="V14" t="s">
        <v>23</v>
      </c>
      <c r="W14" t="s">
        <v>23</v>
      </c>
    </row>
    <row r="15" spans="1:23" x14ac:dyDescent="0.25">
      <c r="A15" t="s">
        <v>23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>
        <f>G15*'评分标准'!$B$2/5+H15*'评分标准'!$B$3/5+I15*'评分标准'!$B$4/5+J15*'评分标准'!$B$5/5+K15*'评分标准'!$B$6/5+L15*'评分标准'!$B$7/5+M15*'评分标准'!$B$8/5+N15*'评分标准'!$B$9/5+O15*'评分标准'!$B$10/5+P15*'评分标准'!$B$11/5</f>
      </c>
      <c r="S15">
        <f>IF(A15="","",IF(Q15&lt;3,"证据不足",IF(R15&gt;='门禁参数'!$B$2,"进入MVP",IF(R15&gt;='门禁参数'!$B$3,"继续观察","淘汰/搁置"))))</f>
      </c>
      <c r="T15" t="s">
        <v>23</v>
      </c>
      <c r="U15" t="s">
        <v>23</v>
      </c>
      <c r="V15" t="s">
        <v>23</v>
      </c>
      <c r="W15" t="s">
        <v>23</v>
      </c>
    </row>
    <row r="16" spans="1:23" x14ac:dyDescent="0.25">
      <c r="A16" t="s">
        <v>23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>
        <f>G16*'评分标准'!$B$2/5+H16*'评分标准'!$B$3/5+I16*'评分标准'!$B$4/5+J16*'评分标准'!$B$5/5+K16*'评分标准'!$B$6/5+L16*'评分标准'!$B$7/5+M16*'评分标准'!$B$8/5+N16*'评分标准'!$B$9/5+O16*'评分标准'!$B$10/5+P16*'评分标准'!$B$11/5</f>
      </c>
      <c r="S16">
        <f>IF(A16="","",IF(Q16&lt;3,"证据不足",IF(R16&gt;='门禁参数'!$B$2,"进入MVP",IF(R16&gt;='门禁参数'!$B$3,"继续观察","淘汰/搁置"))))</f>
      </c>
      <c r="T16" t="s">
        <v>23</v>
      </c>
      <c r="U16" t="s">
        <v>23</v>
      </c>
      <c r="V16" t="s">
        <v>23</v>
      </c>
      <c r="W16" t="s">
        <v>23</v>
      </c>
    </row>
    <row r="17" spans="1:23" x14ac:dyDescent="0.25">
      <c r="A17" t="s">
        <v>23</v>
      </c>
      <c r="B17" t="s">
        <v>23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23</v>
      </c>
      <c r="Q17" t="s">
        <v>23</v>
      </c>
      <c r="R17">
        <f>G17*'评分标准'!$B$2/5+H17*'评分标准'!$B$3/5+I17*'评分标准'!$B$4/5+J17*'评分标准'!$B$5/5+K17*'评分标准'!$B$6/5+L17*'评分标准'!$B$7/5+M17*'评分标准'!$B$8/5+N17*'评分标准'!$B$9/5+O17*'评分标准'!$B$10/5+P17*'评分标准'!$B$11/5</f>
      </c>
      <c r="S17">
        <f>IF(A17="","",IF(Q17&lt;3,"证据不足",IF(R17&gt;='门禁参数'!$B$2,"进入MVP",IF(R17&gt;='门禁参数'!$B$3,"继续观察","淘汰/搁置"))))</f>
      </c>
      <c r="T17" t="s">
        <v>23</v>
      </c>
      <c r="U17" t="s">
        <v>23</v>
      </c>
      <c r="V17" t="s">
        <v>23</v>
      </c>
      <c r="W17" t="s">
        <v>23</v>
      </c>
    </row>
    <row r="18" spans="1:23" x14ac:dyDescent="0.25">
      <c r="A18" t="s">
        <v>23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>
        <f>G18*'评分标准'!$B$2/5+H18*'评分标准'!$B$3/5+I18*'评分标准'!$B$4/5+J18*'评分标准'!$B$5/5+K18*'评分标准'!$B$6/5+L18*'评分标准'!$B$7/5+M18*'评分标准'!$B$8/5+N18*'评分标准'!$B$9/5+O18*'评分标准'!$B$10/5+P18*'评分标准'!$B$11/5</f>
      </c>
      <c r="S18">
        <f>IF(A18="","",IF(Q18&lt;3,"证据不足",IF(R18&gt;='门禁参数'!$B$2,"进入MVP",IF(R18&gt;='门禁参数'!$B$3,"继续观察","淘汰/搁置"))))</f>
      </c>
      <c r="T18" t="s">
        <v>23</v>
      </c>
      <c r="U18" t="s">
        <v>23</v>
      </c>
      <c r="V18" t="s">
        <v>23</v>
      </c>
      <c r="W18" t="s">
        <v>23</v>
      </c>
    </row>
    <row r="19" spans="1:23" x14ac:dyDescent="0.25">
      <c r="A19" t="s">
        <v>23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>
        <f>G19*'评分标准'!$B$2/5+H19*'评分标准'!$B$3/5+I19*'评分标准'!$B$4/5+J19*'评分标准'!$B$5/5+K19*'评分标准'!$B$6/5+L19*'评分标准'!$B$7/5+M19*'评分标准'!$B$8/5+N19*'评分标准'!$B$9/5+O19*'评分标准'!$B$10/5+P19*'评分标准'!$B$11/5</f>
      </c>
      <c r="S19">
        <f>IF(A19="","",IF(Q19&lt;3,"证据不足",IF(R19&gt;='门禁参数'!$B$2,"进入MVP",IF(R19&gt;='门禁参数'!$B$3,"继续观察","淘汰/搁置"))))</f>
      </c>
      <c r="T19" t="s">
        <v>23</v>
      </c>
      <c r="U19" t="s">
        <v>23</v>
      </c>
      <c r="V19" t="s">
        <v>23</v>
      </c>
      <c r="W19" t="s">
        <v>23</v>
      </c>
    </row>
    <row r="20" spans="1:23" x14ac:dyDescent="0.25">
      <c r="A20" t="s">
        <v>23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>
        <f>G20*'评分标准'!$B$2/5+H20*'评分标准'!$B$3/5+I20*'评分标准'!$B$4/5+J20*'评分标准'!$B$5/5+K20*'评分标准'!$B$6/5+L20*'评分标准'!$B$7/5+M20*'评分标准'!$B$8/5+N20*'评分标准'!$B$9/5+O20*'评分标准'!$B$10/5+P20*'评分标准'!$B$11/5</f>
      </c>
      <c r="S20">
        <f>IF(A20="","",IF(Q20&lt;3,"证据不足",IF(R20&gt;='门禁参数'!$B$2,"进入MVP",IF(R20&gt;='门禁参数'!$B$3,"继续观察","淘汰/搁置"))))</f>
      </c>
      <c r="T20" t="s">
        <v>23</v>
      </c>
      <c r="U20" t="s">
        <v>23</v>
      </c>
      <c r="V20" t="s">
        <v>23</v>
      </c>
      <c r="W20" t="s">
        <v>23</v>
      </c>
    </row>
    <row r="21" spans="1:23" x14ac:dyDescent="0.25">
      <c r="A21" t="s">
        <v>23</v>
      </c>
      <c r="B21" t="s">
        <v>23</v>
      </c>
      <c r="C21" t="s">
        <v>23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23</v>
      </c>
      <c r="L21" t="s">
        <v>23</v>
      </c>
      <c r="M21" t="s">
        <v>23</v>
      </c>
      <c r="N21" t="s">
        <v>23</v>
      </c>
      <c r="O21" t="s">
        <v>23</v>
      </c>
      <c r="P21" t="s">
        <v>23</v>
      </c>
      <c r="Q21" t="s">
        <v>23</v>
      </c>
      <c r="R21">
        <f>G21*'评分标准'!$B$2/5+H21*'评分标准'!$B$3/5+I21*'评分标准'!$B$4/5+J21*'评分标准'!$B$5/5+K21*'评分标准'!$B$6/5+L21*'评分标准'!$B$7/5+M21*'评分标准'!$B$8/5+N21*'评分标准'!$B$9/5+O21*'评分标准'!$B$10/5+P21*'评分标准'!$B$11/5</f>
      </c>
      <c r="S21">
        <f>IF(A21="","",IF(Q21&lt;3,"证据不足",IF(R21&gt;='门禁参数'!$B$2,"进入MVP",IF(R21&gt;='门禁参数'!$B$3,"继续观察","淘汰/搁置"))))</f>
      </c>
      <c r="T21" t="s">
        <v>23</v>
      </c>
      <c r="U21" t="s">
        <v>23</v>
      </c>
      <c r="V21" t="s">
        <v>23</v>
      </c>
      <c r="W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15</v>
      </c>
      <c r="C2" t="s">
        <v>31</v>
      </c>
      <c r="D2" t="s">
        <v>32</v>
      </c>
      <c r="E2" t="s">
        <v>33</v>
      </c>
      <c r="F2" t="s">
        <v>34</v>
      </c>
    </row>
    <row r="3" spans="1:6" x14ac:dyDescent="0.25">
      <c r="A3" t="s">
        <v>35</v>
      </c>
      <c r="B3">
        <v>15</v>
      </c>
      <c r="C3" t="s">
        <v>36</v>
      </c>
      <c r="D3" t="s">
        <v>37</v>
      </c>
      <c r="E3" t="s">
        <v>38</v>
      </c>
      <c r="F3" t="s">
        <v>39</v>
      </c>
    </row>
    <row r="4" spans="1:6" x14ac:dyDescent="0.25">
      <c r="A4" t="s">
        <v>40</v>
      </c>
      <c r="B4">
        <v>10</v>
      </c>
      <c r="C4" t="s">
        <v>41</v>
      </c>
      <c r="D4" t="s">
        <v>42</v>
      </c>
      <c r="E4" t="s">
        <v>43</v>
      </c>
      <c r="F4" t="s">
        <v>44</v>
      </c>
    </row>
    <row r="5" spans="1:6" x14ac:dyDescent="0.25">
      <c r="A5" t="s">
        <v>45</v>
      </c>
      <c r="B5">
        <v>15</v>
      </c>
      <c r="C5" t="s">
        <v>46</v>
      </c>
      <c r="D5" t="s">
        <v>47</v>
      </c>
      <c r="E5" t="s">
        <v>48</v>
      </c>
      <c r="F5" t="s">
        <v>49</v>
      </c>
    </row>
    <row r="6" spans="1:6" x14ac:dyDescent="0.25">
      <c r="A6" t="s">
        <v>50</v>
      </c>
      <c r="B6">
        <v>15</v>
      </c>
      <c r="C6" t="s">
        <v>51</v>
      </c>
      <c r="D6" t="s">
        <v>52</v>
      </c>
      <c r="E6" t="s">
        <v>53</v>
      </c>
      <c r="F6" t="s">
        <v>54</v>
      </c>
    </row>
    <row r="7" spans="1:6" x14ac:dyDescent="0.25">
      <c r="A7" t="s">
        <v>55</v>
      </c>
      <c r="B7">
        <v>10</v>
      </c>
      <c r="C7" t="s">
        <v>56</v>
      </c>
      <c r="D7" t="s">
        <v>57</v>
      </c>
      <c r="E7" t="s">
        <v>58</v>
      </c>
      <c r="F7" t="s">
        <v>59</v>
      </c>
    </row>
    <row r="8" spans="1:6" x14ac:dyDescent="0.25">
      <c r="A8" t="s">
        <v>60</v>
      </c>
      <c r="B8">
        <v>8</v>
      </c>
      <c r="C8" t="s">
        <v>61</v>
      </c>
      <c r="D8" t="s">
        <v>62</v>
      </c>
      <c r="E8" t="s">
        <v>63</v>
      </c>
      <c r="F8" t="s">
        <v>64</v>
      </c>
    </row>
    <row r="9" spans="1:6" x14ac:dyDescent="0.25">
      <c r="A9" t="s">
        <v>65</v>
      </c>
      <c r="B9">
        <v>4</v>
      </c>
      <c r="C9" t="s">
        <v>66</v>
      </c>
      <c r="D9" t="s">
        <v>67</v>
      </c>
      <c r="E9" t="s">
        <v>68</v>
      </c>
      <c r="F9" t="s">
        <v>69</v>
      </c>
    </row>
    <row r="10" spans="1:6" x14ac:dyDescent="0.25">
      <c r="A10" t="s">
        <v>70</v>
      </c>
      <c r="B10">
        <v>3</v>
      </c>
      <c r="C10" t="s">
        <v>71</v>
      </c>
      <c r="D10" t="s">
        <v>72</v>
      </c>
      <c r="E10" t="s">
        <v>73</v>
      </c>
      <c r="F10" t="s">
        <v>74</v>
      </c>
    </row>
    <row r="11" spans="1:6" x14ac:dyDescent="0.25">
      <c r="A11" t="s">
        <v>75</v>
      </c>
      <c r="B11">
        <v>5</v>
      </c>
      <c r="C11" t="s">
        <v>76</v>
      </c>
      <c r="D11" t="s">
        <v>77</v>
      </c>
      <c r="E11" t="s">
        <v>78</v>
      </c>
      <c r="F11" t="s">
        <v>79</v>
      </c>
    </row>
    <row r="12" spans="1:6" x14ac:dyDescent="0.25">
      <c r="A12" t="s">
        <v>80</v>
      </c>
      <c r="B12">
        <f>SUM(B2:B11)</f>
      </c>
      <c r="C12" t="s">
        <v>23</v>
      </c>
      <c r="D12" t="s">
        <v>23</v>
      </c>
      <c r="E12" t="s">
        <v>23</v>
      </c>
      <c r="F1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81</v>
      </c>
      <c r="B1" t="s">
        <v>82</v>
      </c>
      <c r="C1" t="s">
        <v>83</v>
      </c>
    </row>
    <row r="2" spans="1:3" x14ac:dyDescent="0.25">
      <c r="A2" t="s">
        <v>84</v>
      </c>
      <c r="B2">
        <v>75</v>
      </c>
      <c r="C2" t="s">
        <v>85</v>
      </c>
    </row>
    <row r="3" spans="1:3" x14ac:dyDescent="0.25">
      <c r="A3" t="s">
        <v>86</v>
      </c>
      <c r="B3">
        <v>60</v>
      </c>
      <c r="C3" t="s">
        <v>87</v>
      </c>
    </row>
    <row r="4" spans="1:3" x14ac:dyDescent="0.25">
      <c r="A4" t="s">
        <v>88</v>
      </c>
      <c r="B4">
        <v>3</v>
      </c>
      <c r="C4" t="s">
        <v>89</v>
      </c>
    </row>
    <row r="5" spans="1:3" x14ac:dyDescent="0.25">
      <c r="A5" t="s">
        <v>90</v>
      </c>
      <c r="B5">
        <v>10</v>
      </c>
      <c r="C5" t="s">
        <v>91</v>
      </c>
    </row>
    <row r="6" spans="1:3" x14ac:dyDescent="0.25">
      <c r="A6" t="s">
        <v>92</v>
      </c>
      <c r="B6">
        <v>90</v>
      </c>
      <c r="C6" t="s">
        <v>93</v>
      </c>
    </row>
    <row r="7" spans="1:3" x14ac:dyDescent="0.25">
      <c r="A7" t="s">
        <v>94</v>
      </c>
      <c r="B7">
        <v>30</v>
      </c>
      <c r="C7" t="s">
        <v>95</v>
      </c>
    </row>
    <row r="8" spans="1:3" x14ac:dyDescent="0.25">
      <c r="A8" t="s">
        <v>96</v>
      </c>
      <c r="B8">
        <v>14</v>
      </c>
      <c r="C8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sheetData>
    <row r="1" spans="1:3" x14ac:dyDescent="0.25">
      <c r="A1" t="s">
        <v>98</v>
      </c>
      <c r="B1" t="s">
        <v>82</v>
      </c>
      <c r="C1" t="s">
        <v>83</v>
      </c>
    </row>
    <row r="2" spans="1:3" x14ac:dyDescent="0.25">
      <c r="A2" t="s">
        <v>99</v>
      </c>
      <c r="B2">
        <f>COUNTIF('评分录入'!A2:A1000,"&lt;&gt;")</f>
      </c>
      <c r="C2" t="s">
        <v>100</v>
      </c>
    </row>
    <row r="3" spans="1:3" x14ac:dyDescent="0.25">
      <c r="A3" t="s">
        <v>101</v>
      </c>
      <c r="B3">
        <f>IFERROR(AVERAGEIF('评分录入'!R2:R1000,"&gt;0"),0)</f>
      </c>
      <c r="C3" t="s">
        <v>23</v>
      </c>
    </row>
    <row r="4" spans="1:3" x14ac:dyDescent="0.25">
      <c r="A4" t="s">
        <v>102</v>
      </c>
      <c r="B4">
        <f>COUNTIF('评分录入'!S2:S1000,"进入MVP")</f>
      </c>
      <c r="C4" t="s">
        <v>23</v>
      </c>
    </row>
    <row r="5" spans="1:3" x14ac:dyDescent="0.25">
      <c r="A5" t="s">
        <v>103</v>
      </c>
      <c r="B5">
        <f>COUNTIF('评分录入'!S2:S1000,"继续观察")</f>
      </c>
      <c r="C5" t="s">
        <v>23</v>
      </c>
    </row>
    <row r="6" spans="1:3" x14ac:dyDescent="0.25">
      <c r="A6" t="s">
        <v>104</v>
      </c>
      <c r="B6">
        <f>COUNTIF('评分录入'!S2:S1000,"淘汰/搁置")</f>
      </c>
      <c r="C6" t="s">
        <v>23</v>
      </c>
    </row>
    <row r="7" spans="1:3" x14ac:dyDescent="0.25">
      <c r="A7" t="s">
        <v>105</v>
      </c>
      <c r="B7">
        <f>COUNTIF('评分录入'!S2:S1000,"证据不足")</f>
      </c>
      <c r="C7" t="s">
        <v>23</v>
      </c>
    </row>
    <row r="8" spans="1:3" x14ac:dyDescent="0.25">
      <c r="A8" t="s">
        <v>106</v>
      </c>
      <c r="B8" t="s">
        <v>107</v>
      </c>
      <c r="C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评分录入</vt:lpstr>
      <vt:lpstr>评分标准</vt:lpstr>
      <vt:lpstr>门禁参数</vt:lpstr>
      <vt:lpstr>看板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2026-08-29T09:55:37Z</dcterms:created>
  <dcterms:modified xsi:type="dcterms:W3CDTF">2026-08-29T09:55:37Z</dcterms:modified>
</cp:coreProperties>
</file>